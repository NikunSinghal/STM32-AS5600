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ai\Documents\"/>
    </mc:Choice>
  </mc:AlternateContent>
  <bookViews>
    <workbookView xWindow="0" yWindow="0" windowWidth="19200" windowHeight="64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4" i="1" l="1"/>
  <c r="E23" i="1"/>
  <c r="E22" i="1"/>
  <c r="E21" i="1"/>
  <c r="E20" i="1"/>
  <c r="E19" i="1"/>
  <c r="E18" i="1"/>
  <c r="E17" i="1"/>
  <c r="E16" i="1"/>
  <c r="E15" i="1"/>
  <c r="E14" i="1"/>
  <c r="E13" i="1"/>
  <c r="E3" i="1"/>
  <c r="E4" i="1"/>
  <c r="E5" i="1"/>
  <c r="E6" i="1"/>
  <c r="E7" i="1"/>
  <c r="E8" i="1"/>
  <c r="E9" i="1"/>
  <c r="E10" i="1"/>
  <c r="E11" i="1"/>
  <c r="E12" i="1"/>
  <c r="E2" i="1"/>
</calcChain>
</file>

<file path=xl/sharedStrings.xml><?xml version="1.0" encoding="utf-8"?>
<sst xmlns="http://schemas.openxmlformats.org/spreadsheetml/2006/main" count="93" uniqueCount="73">
  <si>
    <t>Product</t>
  </si>
  <si>
    <t>SKU</t>
  </si>
  <si>
    <t>Quantity</t>
  </si>
  <si>
    <t>Unit Price</t>
  </si>
  <si>
    <t>Amount</t>
  </si>
  <si>
    <t>Link</t>
  </si>
  <si>
    <t>Vendor</t>
  </si>
  <si>
    <t>STM32F103C8T6</t>
  </si>
  <si>
    <t>https://sharvielectronics.com/product/stm32f103c8t6-arm-microcontroller-lqfp-48-package/</t>
  </si>
  <si>
    <t>ST2103SD0969</t>
  </si>
  <si>
    <t>Capacitor 30p</t>
  </si>
  <si>
    <t>Sharvi</t>
  </si>
  <si>
    <t>ST2103SD2528</t>
  </si>
  <si>
    <t>https://sharvielectronics.com/product/33pf-0-033nf-1000v-ceramic-capacitor-%c2%b15-tolerance-cc1206jknpocbn330-1206-package/</t>
  </si>
  <si>
    <t>Capacitor 100n</t>
  </si>
  <si>
    <t>ST2103SD2612</t>
  </si>
  <si>
    <t>Capacitor 10u</t>
  </si>
  <si>
    <t>ST2103SD2184</t>
  </si>
  <si>
    <t>https://sharvielectronics.com/product/10uf-1000nf-25v-capacitor-%c2%b110-tolerance-cc0805kkx7r8bb106-0805-package/</t>
  </si>
  <si>
    <t>Capacitor 22u</t>
  </si>
  <si>
    <t>ST2103SD2269</t>
  </si>
  <si>
    <t>https://sharvielectronics.com/product/22uf-22000nf-10v-capacitor-%c2%b110-tolerance-cc0805kkx7r6bb226-0805-package/</t>
  </si>
  <si>
    <t>Capacitor 1u</t>
  </si>
  <si>
    <t>ST2103SD2657</t>
  </si>
  <si>
    <t>https://sharvielectronics.com/product/1000nf-1uf-50v-ceramic-capacitor-%c2%b110-tolerance-0805x105k500ct-0805-package/</t>
  </si>
  <si>
    <t>Capacitor 10n</t>
  </si>
  <si>
    <t>ST2103SD2323</t>
  </si>
  <si>
    <t>https://sharvielectronics.com/product/0-01uf-10nf-50v-capacitor-%c2%b110-tolerance-cc1206krx7r9bb103-1206-package/</t>
  </si>
  <si>
    <t>LED</t>
  </si>
  <si>
    <t>ST2103SD2647</t>
  </si>
  <si>
    <t>https://sharvielectronics.com/product/hq27-2101ubgc-dark-green-smd-led-right-angle-side-view-0603-package/</t>
  </si>
  <si>
    <t>Ferrite Bead</t>
  </si>
  <si>
    <t>https://sharvielectronics.com/product/600%cf%89-100mhz-600ma-%c2%b125-ferrite-bead-ebms321609a601-1206-package/</t>
  </si>
  <si>
    <t>ST2103SD1711</t>
  </si>
  <si>
    <t>https://sharvielectronics.com/product/6x1-6pin-male-square-straight-header-connector-11mm-height-2-54mm-pitch/</t>
  </si>
  <si>
    <t>Header Pin - Male</t>
  </si>
  <si>
    <t>ST2136CO8037</t>
  </si>
  <si>
    <t>Header Pin - Female</t>
  </si>
  <si>
    <t>https://robu.in/product/2-54mm-1x40-pin-female-single-row-header-strip-pack-of-10/</t>
  </si>
  <si>
    <t>Robu</t>
  </si>
  <si>
    <t>USB Receptacle</t>
  </si>
  <si>
    <t>Resistor 5.1k</t>
  </si>
  <si>
    <t>ST2009SD0557</t>
  </si>
  <si>
    <t>https://sharvielectronics.com/product/5-1k-ohm-1-10-watt-resistor-1-tolerance-rc0603fr-075k1l-0603-package/</t>
  </si>
  <si>
    <t>Resistor 4.7k</t>
  </si>
  <si>
    <t>ST2009SD0509</t>
  </si>
  <si>
    <t>https://sharvielectronics.com/product/4-7k-ohm-1-4-watt-resistor-1-tolerance-rc1206fr-074k7l-1206-package/</t>
  </si>
  <si>
    <t>Resistor 1.5k</t>
  </si>
  <si>
    <t>ST2009SD0483</t>
  </si>
  <si>
    <t>https://sharvielectronics.com/product/1-5k-ohm-1-4-watt-resistor-1-tolerance-1206w4f1501t5e-1206-package/</t>
  </si>
  <si>
    <t>Resistor 1k</t>
  </si>
  <si>
    <t>ST2103SD2320</t>
  </si>
  <si>
    <t>Resistor 65R</t>
  </si>
  <si>
    <t>https://robu.in/product/68-ohm-1-4w-0603-surface-mount-chip-resistor-pack-of-100/?gad_source=1&amp;gad_campaignid=17427802703&amp;gbraid=0AAAAADvLFWfl8if6hvNMNUuoxmtibwOzA&amp;gclid=Cj0KCQiAhtvMBhDBARIsAL26pjEwiiUnFU4D1Jt7eKHSsbMiAzbA0RoDGSsaAOnFpupa8-OY6qCbzXMaAoBGEALw_wcB</t>
  </si>
  <si>
    <t>Resistor 150R</t>
  </si>
  <si>
    <t>R241053</t>
  </si>
  <si>
    <t>https://robu.in/product/crcw0603150rfkeac-vishay-smd-chip-resistor-150-ohm-%C2%B1-1-100-mw-0603-1608-metric-thick-film-general-purpose/?gad_source=1&amp;gad_campaignid=17427802703&amp;gbraid=0AAAAADvLFWfl8if6hvNMNUuoxmtibwOzA&amp;gclid=Cj0KCQiAhtvMBhDBARIsAL26pjGVKY1zXPh2prDLn8qvld8bT9aANetpKXwiAbDHCgDGdO4mqb0FwoEaAlRZEALw_wcB</t>
  </si>
  <si>
    <t>TS09 Switch</t>
  </si>
  <si>
    <t>AMS1117</t>
  </si>
  <si>
    <t>ST2009SD0350</t>
  </si>
  <si>
    <t>https://sharvielectronics.com/product/ams1117-3-3-3-3v-1a-voltage-regulator-ic-sot-223-package/</t>
  </si>
  <si>
    <t>AS5600</t>
  </si>
  <si>
    <t>R182262</t>
  </si>
  <si>
    <t>https://robu.in/product/as5600-asom-ams-0360-soic-8-position-sensors-rohs/</t>
  </si>
  <si>
    <t>Abracon Crystal</t>
  </si>
  <si>
    <t>https://robu.in/product/abl-8-000mhz-b2-crystal/?gad_source=1&amp;gad_campaignid=17427802703&amp;gbraid=0AAAAADvLFWfl8if6hvNMNUuoxmtibwOzA&amp;gclid=Cj0KCQiAhtvMBhDBARIsAL26pjESvUU9TUEjuIh-dRvK4Xns0Pp7WJ6f0EFYXF6RbOe5VKbKlLQKe48aAilwEALw_wcB</t>
  </si>
  <si>
    <t>TOTAL</t>
  </si>
  <si>
    <t>R248958</t>
  </si>
  <si>
    <t>R189785</t>
  </si>
  <si>
    <t>https://robu.in/product/ts-1145a-d-b-xkb-smd3-2x4-2x2-5mm-tactile-switches-rohs/</t>
  </si>
  <si>
    <t>https://robu.in/product/ac0603fr-071kl-yageo-res-thick-film-0603-1k-ohm-1-0-1w1-10w-%c2%b1100ppm-c-pad-smd-t-r-automotive-aec-q200/</t>
  </si>
  <si>
    <t>https://sharvielectronics.com/product/0-1uf-100nf-25v-ceramic-capacitor-%c2%b110-tolerance-cc1206krx7r8bb104-1206-package/</t>
  </si>
  <si>
    <t>https://sharvielectronics.com/product/16-pin-c-type-usb-connector-smd-package/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</si>
</sst>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Arial"/>
      <family val="2"/>
    </font>
    <font>
      <sz val="10"/>
      <color theme="1"/>
      <name val="Arial"/>
      <family val="2"/>
    </font>
    <font>
      <sz val="10"/>
      <color rgb="FF777777"/>
      <name val="Arial"/>
      <family val="2"/>
    </font>
    <font>
      <b/>
      <sz val="10"/>
      <color rgb="FF333E48"/>
      <name val="Arial"/>
      <family val="2"/>
    </font>
    <font>
      <sz val="10"/>
      <color rgb="FF333E4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2" fillId="0" borderId="0" xfId="1"/>
    <xf numFmtId="0" fontId="6" fillId="0" borderId="0" xfId="0" applyFont="1"/>
    <xf numFmtId="0" fontId="4" fillId="0" borderId="0" xfId="0" applyFont="1" applyAlignment="1">
      <alignment horizontal="left"/>
    </xf>
    <xf numFmtId="0" fontId="1" fillId="0" borderId="1" xfId="0" applyFont="1" applyBorder="1"/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2" fillId="0" borderId="1" xfId="1" applyBorder="1"/>
    <xf numFmtId="0" fontId="7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/>
    <xf numFmtId="0" fontId="3" fillId="2" borderId="1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Grayscale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harvielectronics.com/product/33pf-0-033nf-1000v-ceramic-capacitor-%c2%b15-tolerance-cc1206jknpocbn330-1206-packag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tabSelected="1" topLeftCell="A16" workbookViewId="0">
      <selection activeCell="E21" sqref="E21"/>
    </sheetView>
  </sheetViews>
  <sheetFormatPr defaultRowHeight="21" x14ac:dyDescent="0.5"/>
  <cols>
    <col min="1" max="1" width="24.6328125" style="1" customWidth="1"/>
    <col min="2" max="2" width="20.08984375" style="4" customWidth="1"/>
    <col min="3" max="3" width="11.54296875" style="1" customWidth="1"/>
    <col min="4" max="4" width="15.54296875" style="1" customWidth="1"/>
    <col min="5" max="5" width="16.81640625" style="1" customWidth="1"/>
    <col min="6" max="6" width="12.08984375" style="1" customWidth="1"/>
    <col min="7" max="7" width="18.54296875" style="1" customWidth="1"/>
    <col min="8" max="16384" width="8.7265625" style="1"/>
  </cols>
  <sheetData>
    <row r="1" spans="1:7" x14ac:dyDescent="0.5">
      <c r="A1" s="11" t="s">
        <v>0</v>
      </c>
      <c r="B1" s="12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</row>
    <row r="2" spans="1:7" x14ac:dyDescent="0.5">
      <c r="A2" s="5" t="s">
        <v>7</v>
      </c>
      <c r="B2" s="7" t="s">
        <v>9</v>
      </c>
      <c r="C2" s="5">
        <v>1</v>
      </c>
      <c r="D2" s="5">
        <v>118.75</v>
      </c>
      <c r="E2" s="5">
        <f>C2*D2</f>
        <v>118.75</v>
      </c>
      <c r="F2" s="5" t="s">
        <v>8</v>
      </c>
      <c r="G2" s="5" t="s">
        <v>11</v>
      </c>
    </row>
    <row r="3" spans="1:7" x14ac:dyDescent="0.5">
      <c r="A3" s="5" t="s">
        <v>10</v>
      </c>
      <c r="B3" s="7" t="s">
        <v>12</v>
      </c>
      <c r="C3" s="5">
        <v>2</v>
      </c>
      <c r="D3" s="5">
        <v>1.92</v>
      </c>
      <c r="E3" s="5">
        <f t="shared" ref="E3:E23" si="0">C3*D3</f>
        <v>3.84</v>
      </c>
      <c r="F3" s="8" t="s">
        <v>13</v>
      </c>
      <c r="G3" s="5" t="s">
        <v>11</v>
      </c>
    </row>
    <row r="4" spans="1:7" x14ac:dyDescent="0.5">
      <c r="A4" s="5" t="s">
        <v>14</v>
      </c>
      <c r="B4" s="7" t="s">
        <v>15</v>
      </c>
      <c r="C4" s="5">
        <v>5</v>
      </c>
      <c r="D4" s="5">
        <v>1.92</v>
      </c>
      <c r="E4" s="5">
        <f t="shared" si="0"/>
        <v>9.6</v>
      </c>
      <c r="F4" s="8" t="s">
        <v>71</v>
      </c>
      <c r="G4" s="5" t="s">
        <v>11</v>
      </c>
    </row>
    <row r="5" spans="1:7" x14ac:dyDescent="0.5">
      <c r="A5" s="5" t="s">
        <v>16</v>
      </c>
      <c r="B5" s="7" t="s">
        <v>17</v>
      </c>
      <c r="C5" s="5">
        <v>1</v>
      </c>
      <c r="D5" s="5">
        <v>2.72</v>
      </c>
      <c r="E5" s="5">
        <f t="shared" si="0"/>
        <v>2.72</v>
      </c>
      <c r="F5" s="5" t="s">
        <v>18</v>
      </c>
      <c r="G5" s="5" t="s">
        <v>11</v>
      </c>
    </row>
    <row r="6" spans="1:7" x14ac:dyDescent="0.5">
      <c r="A6" s="5" t="s">
        <v>19</v>
      </c>
      <c r="B6" s="7" t="s">
        <v>20</v>
      </c>
      <c r="C6" s="5">
        <v>1</v>
      </c>
      <c r="D6" s="5">
        <v>2.72</v>
      </c>
      <c r="E6" s="5">
        <f t="shared" si="0"/>
        <v>2.72</v>
      </c>
      <c r="F6" s="5" t="s">
        <v>21</v>
      </c>
      <c r="G6" s="5" t="s">
        <v>11</v>
      </c>
    </row>
    <row r="7" spans="1:7" x14ac:dyDescent="0.5">
      <c r="A7" s="5" t="s">
        <v>22</v>
      </c>
      <c r="B7" s="7" t="s">
        <v>23</v>
      </c>
      <c r="C7" s="5">
        <v>1</v>
      </c>
      <c r="D7" s="5">
        <v>2.15</v>
      </c>
      <c r="E7" s="5">
        <f t="shared" si="0"/>
        <v>2.15</v>
      </c>
      <c r="F7" s="5" t="s">
        <v>24</v>
      </c>
      <c r="G7" s="5" t="s">
        <v>11</v>
      </c>
    </row>
    <row r="8" spans="1:7" x14ac:dyDescent="0.5">
      <c r="A8" s="5" t="s">
        <v>25</v>
      </c>
      <c r="B8" s="7" t="s">
        <v>26</v>
      </c>
      <c r="C8" s="5">
        <v>1</v>
      </c>
      <c r="D8" s="5">
        <v>0.93</v>
      </c>
      <c r="E8" s="5">
        <f t="shared" si="0"/>
        <v>0.93</v>
      </c>
      <c r="F8" s="5" t="s">
        <v>27</v>
      </c>
      <c r="G8" s="5" t="s">
        <v>11</v>
      </c>
    </row>
    <row r="9" spans="1:7" x14ac:dyDescent="0.5">
      <c r="A9" s="5" t="s">
        <v>28</v>
      </c>
      <c r="B9" s="7" t="s">
        <v>29</v>
      </c>
      <c r="C9" s="5">
        <v>3</v>
      </c>
      <c r="D9" s="5">
        <v>1.89</v>
      </c>
      <c r="E9" s="5">
        <f t="shared" si="0"/>
        <v>5.67</v>
      </c>
      <c r="F9" s="5" t="s">
        <v>30</v>
      </c>
      <c r="G9" s="5" t="s">
        <v>11</v>
      </c>
    </row>
    <row r="10" spans="1:7" x14ac:dyDescent="0.5">
      <c r="A10" s="5" t="s">
        <v>31</v>
      </c>
      <c r="B10" s="7" t="s">
        <v>33</v>
      </c>
      <c r="C10" s="5">
        <v>1</v>
      </c>
      <c r="D10" s="5">
        <v>3.57</v>
      </c>
      <c r="E10" s="5">
        <f t="shared" si="0"/>
        <v>3.57</v>
      </c>
      <c r="F10" s="5" t="s">
        <v>32</v>
      </c>
      <c r="G10" s="5" t="s">
        <v>11</v>
      </c>
    </row>
    <row r="11" spans="1:7" x14ac:dyDescent="0.5">
      <c r="A11" s="5" t="s">
        <v>35</v>
      </c>
      <c r="B11" s="7" t="s">
        <v>36</v>
      </c>
      <c r="C11" s="5">
        <v>1</v>
      </c>
      <c r="D11" s="5">
        <v>1.95</v>
      </c>
      <c r="E11" s="5">
        <f t="shared" si="0"/>
        <v>1.95</v>
      </c>
      <c r="F11" s="5" t="s">
        <v>34</v>
      </c>
      <c r="G11" s="5" t="s">
        <v>11</v>
      </c>
    </row>
    <row r="12" spans="1:7" x14ac:dyDescent="0.5">
      <c r="A12" s="5" t="s">
        <v>37</v>
      </c>
      <c r="B12" s="6">
        <v>555698</v>
      </c>
      <c r="C12" s="5">
        <v>1</v>
      </c>
      <c r="D12" s="5">
        <v>7</v>
      </c>
      <c r="E12" s="5">
        <f t="shared" si="0"/>
        <v>7</v>
      </c>
      <c r="F12" s="5" t="s">
        <v>38</v>
      </c>
      <c r="G12" s="5" t="s">
        <v>39</v>
      </c>
    </row>
    <row r="13" spans="1:7" x14ac:dyDescent="0.5">
      <c r="A13" s="5" t="s">
        <v>40</v>
      </c>
      <c r="B13" s="3" t="s">
        <v>67</v>
      </c>
      <c r="C13" s="5">
        <v>1</v>
      </c>
      <c r="D13" s="5">
        <v>17.45</v>
      </c>
      <c r="E13" s="5">
        <f t="shared" si="0"/>
        <v>17.45</v>
      </c>
      <c r="F13" s="2" t="s">
        <v>72</v>
      </c>
      <c r="G13" s="5" t="s">
        <v>11</v>
      </c>
    </row>
    <row r="14" spans="1:7" x14ac:dyDescent="0.5">
      <c r="A14" s="5" t="s">
        <v>41</v>
      </c>
      <c r="B14" s="7" t="s">
        <v>42</v>
      </c>
      <c r="C14" s="5">
        <v>2</v>
      </c>
      <c r="D14" s="5">
        <v>0.85</v>
      </c>
      <c r="E14" s="5">
        <f t="shared" si="0"/>
        <v>1.7</v>
      </c>
      <c r="F14" s="5" t="s">
        <v>43</v>
      </c>
      <c r="G14" s="5" t="s">
        <v>11</v>
      </c>
    </row>
    <row r="15" spans="1:7" x14ac:dyDescent="0.5">
      <c r="A15" s="5" t="s">
        <v>44</v>
      </c>
      <c r="B15" s="7" t="s">
        <v>45</v>
      </c>
      <c r="C15" s="5">
        <v>3</v>
      </c>
      <c r="D15" s="5">
        <v>0.93</v>
      </c>
      <c r="E15" s="5">
        <f t="shared" si="0"/>
        <v>2.79</v>
      </c>
      <c r="F15" s="5" t="s">
        <v>46</v>
      </c>
      <c r="G15" s="5" t="s">
        <v>11</v>
      </c>
    </row>
    <row r="16" spans="1:7" x14ac:dyDescent="0.5">
      <c r="A16" s="5" t="s">
        <v>47</v>
      </c>
      <c r="B16" s="7" t="s">
        <v>48</v>
      </c>
      <c r="C16" s="5">
        <v>1</v>
      </c>
      <c r="D16" s="5">
        <v>0.93</v>
      </c>
      <c r="E16" s="5">
        <f t="shared" si="0"/>
        <v>0.93</v>
      </c>
      <c r="F16" s="5" t="s">
        <v>49</v>
      </c>
      <c r="G16" s="5" t="s">
        <v>11</v>
      </c>
    </row>
    <row r="17" spans="1:7" x14ac:dyDescent="0.5">
      <c r="A17" s="5" t="s">
        <v>50</v>
      </c>
      <c r="B17" s="7" t="s">
        <v>51</v>
      </c>
      <c r="C17" s="5">
        <v>1</v>
      </c>
      <c r="D17" s="5">
        <v>0.19</v>
      </c>
      <c r="E17" s="5">
        <f t="shared" si="0"/>
        <v>0.19</v>
      </c>
      <c r="F17" s="5" t="s">
        <v>70</v>
      </c>
      <c r="G17" s="5" t="s">
        <v>39</v>
      </c>
    </row>
    <row r="18" spans="1:7" x14ac:dyDescent="0.5">
      <c r="A18" s="5" t="s">
        <v>52</v>
      </c>
      <c r="B18" s="9">
        <v>573895</v>
      </c>
      <c r="C18" s="5">
        <v>1</v>
      </c>
      <c r="D18" s="5">
        <v>0.35</v>
      </c>
      <c r="E18" s="5">
        <f t="shared" si="0"/>
        <v>0.35</v>
      </c>
      <c r="F18" s="5" t="s">
        <v>53</v>
      </c>
      <c r="G18" s="5" t="s">
        <v>39</v>
      </c>
    </row>
    <row r="19" spans="1:7" x14ac:dyDescent="0.5">
      <c r="A19" s="5" t="s">
        <v>54</v>
      </c>
      <c r="B19" s="9" t="s">
        <v>55</v>
      </c>
      <c r="C19" s="5">
        <v>1</v>
      </c>
      <c r="D19" s="5">
        <v>0.68</v>
      </c>
      <c r="E19" s="5">
        <f t="shared" si="0"/>
        <v>0.68</v>
      </c>
      <c r="F19" s="5" t="s">
        <v>56</v>
      </c>
      <c r="G19" s="5" t="s">
        <v>39</v>
      </c>
    </row>
    <row r="20" spans="1:7" x14ac:dyDescent="0.5">
      <c r="A20" s="5" t="s">
        <v>57</v>
      </c>
      <c r="B20" s="3" t="s">
        <v>68</v>
      </c>
      <c r="C20" s="5">
        <v>1</v>
      </c>
      <c r="D20" s="5">
        <v>15.72</v>
      </c>
      <c r="E20" s="5">
        <f t="shared" si="0"/>
        <v>15.72</v>
      </c>
      <c r="F20" s="5" t="s">
        <v>69</v>
      </c>
      <c r="G20" s="5" t="s">
        <v>39</v>
      </c>
    </row>
    <row r="21" spans="1:7" x14ac:dyDescent="0.5">
      <c r="A21" s="5" t="s">
        <v>58</v>
      </c>
      <c r="B21" s="7" t="s">
        <v>59</v>
      </c>
      <c r="C21" s="5">
        <v>1</v>
      </c>
      <c r="D21" s="5">
        <v>6.75</v>
      </c>
      <c r="E21" s="5">
        <f t="shared" si="0"/>
        <v>6.75</v>
      </c>
      <c r="F21" s="5" t="s">
        <v>60</v>
      </c>
      <c r="G21" s="5" t="s">
        <v>11</v>
      </c>
    </row>
    <row r="22" spans="1:7" x14ac:dyDescent="0.5">
      <c r="A22" s="5" t="s">
        <v>61</v>
      </c>
      <c r="B22" s="9" t="s">
        <v>62</v>
      </c>
      <c r="C22" s="5">
        <v>1</v>
      </c>
      <c r="D22" s="5">
        <v>166</v>
      </c>
      <c r="E22" s="5">
        <f t="shared" si="0"/>
        <v>166</v>
      </c>
      <c r="F22" s="5" t="s">
        <v>63</v>
      </c>
      <c r="G22" s="5" t="s">
        <v>39</v>
      </c>
    </row>
    <row r="23" spans="1:7" x14ac:dyDescent="0.5">
      <c r="A23" s="5" t="s">
        <v>64</v>
      </c>
      <c r="B23" s="9">
        <v>1163700</v>
      </c>
      <c r="C23" s="5">
        <v>1</v>
      </c>
      <c r="D23" s="5">
        <v>66</v>
      </c>
      <c r="E23" s="5">
        <f t="shared" si="0"/>
        <v>66</v>
      </c>
      <c r="F23" s="5" t="s">
        <v>65</v>
      </c>
      <c r="G23" s="5" t="s">
        <v>39</v>
      </c>
    </row>
    <row r="24" spans="1:7" x14ac:dyDescent="0.5">
      <c r="A24" s="11" t="s">
        <v>66</v>
      </c>
      <c r="B24" s="10">
        <f>SUM(D2:D23)</f>
        <v>421.37</v>
      </c>
      <c r="C24" s="10"/>
      <c r="D24" s="10"/>
      <c r="E24" s="10"/>
      <c r="F24" s="10"/>
      <c r="G24" s="10"/>
    </row>
  </sheetData>
  <mergeCells count="1">
    <mergeCell ref="B24:G24"/>
  </mergeCells>
  <hyperlinks>
    <hyperlink ref="F3" r:id="rId1"/>
  </hyperlinks>
  <pageMargins left="0.7" right="0.7" top="0.75" bottom="0.75" header="0.3" footer="0.3"/>
  <pageSetup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aai</dc:creator>
  <cp:lastModifiedBy>aai</cp:lastModifiedBy>
  <dcterms:created xsi:type="dcterms:W3CDTF">2026-02-19T12:46:04Z</dcterms:created>
  <dcterms:modified xsi:type="dcterms:W3CDTF">2026-02-19T14:33:36Z</dcterms:modified>
</cp:coreProperties>
</file>